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ssentra-my.sharepoint.com/personal/filipegodoi_essentra_com/Documents/Desktop/Aplicacoes/Case Tracker/"/>
    </mc:Choice>
  </mc:AlternateContent>
  <xr:revisionPtr revIDLastSave="0" documentId="8_{AF58527E-A65E-467C-A0FA-8304E753247C}" xr6:coauthVersionLast="47" xr6:coauthVersionMax="47" xr10:uidLastSave="{00000000-0000-0000-0000-000000000000}"/>
  <bookViews>
    <workbookView xWindow="-108" yWindow="-108" windowWidth="23256" windowHeight="13896" tabRatio="817" xr2:uid="{00000000-000D-0000-FFFF-FFFF00000000}"/>
  </bookViews>
  <sheets>
    <sheet name="COMMERCIAL INVOICE" sheetId="33" r:id="rId1"/>
    <sheet name="Packing List" sheetId="36" r:id="rId2"/>
  </sheets>
  <definedNames>
    <definedName name="_xlnm.Print_Titles" localSheetId="0">'COMMERCIAL INVOICE'!$1:$15</definedName>
    <definedName name="_xlnm.Print_Titles" localSheetId="1">'Packing List'!$1:$16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33" l="1"/>
  <c r="I1" i="36"/>
  <c r="G29" i="36"/>
  <c r="G28" i="36"/>
  <c r="I2" i="33"/>
  <c r="I2" i="36" s="1"/>
  <c r="A11" i="36"/>
  <c r="A12" i="36"/>
  <c r="A13" i="36"/>
  <c r="A14" i="36"/>
  <c r="A15" i="36"/>
  <c r="H24" i="36" l="1"/>
  <c r="G24" i="36"/>
  <c r="F24" i="36"/>
  <c r="E24" i="36"/>
  <c r="B17" i="36"/>
  <c r="I25" i="33" l="1"/>
  <c r="I3" i="36" l="1"/>
  <c r="A10" i="3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DRLIVE" type="1" refreshedVersion="4" background="1" saveData="1">
    <dbPr connection="DSN=DRLIVE;" command="SELECT ECL.LORD, ECL.LLINE, ECL.LPROD, ECL.LQORD, ECL.LUM, ECL.LNET, IIM.IDESC, FFI.FICLAF_x000d__x000a_FROM S10A2531.ALPLXF.ECL ECL, S10A2531.ALPLXBRF.FFI FFI, S10A2531.ALPLXF.IIM IIM_x000d__x000a_WHERE ECL.LPROD = FFI.FIITEM AND ECL.LPROD = IIM.IPROD AND ((ECL.LORD=1485136))_x000d__x000a_ORDER BY ECL.LLINE"/>
  </connection>
</connections>
</file>

<file path=xl/sharedStrings.xml><?xml version="1.0" encoding="utf-8"?>
<sst xmlns="http://schemas.openxmlformats.org/spreadsheetml/2006/main" count="59" uniqueCount="46">
  <si>
    <t>TOTAL</t>
  </si>
  <si>
    <t>ESSENTRA IND COM LTDA</t>
  </si>
  <si>
    <t>ZIP CODE: 13820-000</t>
  </si>
  <si>
    <t>LN</t>
  </si>
  <si>
    <t>UoM</t>
  </si>
  <si>
    <t>PRICE</t>
  </si>
  <si>
    <t>INVOICE #</t>
  </si>
  <si>
    <t>INVOICE DATE</t>
  </si>
  <si>
    <t>CUSTOMER ID</t>
  </si>
  <si>
    <t>CURRENCY</t>
  </si>
  <si>
    <t>PACKING LIST</t>
  </si>
  <si>
    <t>G.W. [KG]</t>
  </si>
  <si>
    <t>N.W. [KG]</t>
  </si>
  <si>
    <t>JAGUARIUNA SP BRAZIL</t>
  </si>
  <si>
    <t>ITEM</t>
  </si>
  <si>
    <t>DESCRIPTION</t>
  </si>
  <si>
    <t>QTY</t>
  </si>
  <si>
    <t>AV EMILiO MARCONATO, 1000 GL R18A</t>
  </si>
  <si>
    <t>CNPJ: 56.993.074/0010-11</t>
  </si>
  <si>
    <t>AV EMÍLIO MARCONATO, 1000 GL R18A</t>
  </si>
  <si>
    <t>ESSENTRA INDÚSTRIA E  COMÉRCIO LTDA</t>
  </si>
  <si>
    <t>Gross Weight:</t>
  </si>
  <si>
    <t>Net Weight:</t>
  </si>
  <si>
    <t>Volume:</t>
  </si>
  <si>
    <t>kg</t>
  </si>
  <si>
    <t>USD</t>
  </si>
  <si>
    <t>SHIP TO:</t>
  </si>
  <si>
    <t>SOLD TO:</t>
  </si>
  <si>
    <t>DIM (CM)</t>
  </si>
  <si>
    <t xml:space="preserve">Apodaca, Nuevo León </t>
  </si>
  <si>
    <t>Mexico</t>
  </si>
  <si>
    <t>TH</t>
  </si>
  <si>
    <t>INCOTERM: EXW</t>
  </si>
  <si>
    <t>Ave. Automotriz 351 A‑06</t>
  </si>
  <si>
    <t>Parque Industrial Avante Apodaca</t>
  </si>
  <si>
    <t>CP: 66607</t>
  </si>
  <si>
    <t>COMMERCIAL INVOICE</t>
  </si>
  <si>
    <t>NO COMMERCIAL VALUE</t>
  </si>
  <si>
    <t>ESSENTRA COMPONENTS S DE RL DE CV</t>
  </si>
  <si>
    <t>35009586</t>
  </si>
  <si>
    <t>NCM: 39235000</t>
  </si>
  <si>
    <t xml:space="preserve">Gaskets, Profile Edge Protection - 1.0-3.0mm Grip
    </t>
  </si>
  <si>
    <t>DAP</t>
  </si>
  <si>
    <t>QTD BOX</t>
  </si>
  <si>
    <t>BOX</t>
  </si>
  <si>
    <t>4053798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</si>
</sst>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0"/>
    <numFmt numFmtId="165" formatCode="_-[$$-409]* #,##0.00_ ;_-[$$-409]* \-#,##0.00\ ;_-[$$-409]* &quot;-&quot;??_ ;_-@_ "/>
    <numFmt numFmtId="166" formatCode="0.0"/>
    <numFmt numFmtId="167" formatCode="[$$-409]#,##0.00_ ;\-[$$-409]#,##0.00\ "/>
    <numFmt numFmtId="168" formatCode="0.000_ ;\-0.000\ "/>
    <numFmt numFmtId="169" formatCode="[$$-409]#,##0.0000_ ;\-[$$-409]#,##0.0000\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2" fillId="0" borderId="0"/>
    <xf numFmtId="44" fontId="11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1" xfId="0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65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164" fontId="0" fillId="0" borderId="1" xfId="0" applyNumberFormat="1" applyBorder="1"/>
    <xf numFmtId="49" fontId="0" fillId="0" borderId="0" xfId="0" applyNumberFormat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1" fillId="0" borderId="2" xfId="0" applyNumberFormat="1" applyFont="1" applyBorder="1" applyAlignment="1">
      <alignment horizontal="right"/>
    </xf>
    <xf numFmtId="0" fontId="6" fillId="0" borderId="1" xfId="0" applyFont="1" applyBorder="1" applyAlignment="1">
      <alignment vertical="top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67" fontId="0" fillId="0" borderId="0" xfId="0" applyNumberFormat="1"/>
    <xf numFmtId="2" fontId="0" fillId="0" borderId="0" xfId="0" applyNumberFormat="1"/>
    <xf numFmtId="0" fontId="7" fillId="0" borderId="0" xfId="0" applyFont="1"/>
    <xf numFmtId="166" fontId="5" fillId="0" borderId="0" xfId="0" applyNumberFormat="1" applyFont="1" applyAlignment="1">
      <alignment horizontal="right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168" fontId="1" fillId="0" borderId="2" xfId="0" applyNumberFormat="1" applyFont="1" applyBorder="1" applyAlignment="1">
      <alignment horizontal="center"/>
    </xf>
    <xf numFmtId="164" fontId="1" fillId="0" borderId="0" xfId="0" applyNumberFormat="1" applyFont="1"/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wrapText="1"/>
    </xf>
    <xf numFmtId="169" fontId="0" fillId="0" borderId="0" xfId="0" applyNumberFormat="1"/>
    <xf numFmtId="164" fontId="0" fillId="0" borderId="0" xfId="0" applyNumberFormat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right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0" fillId="0" borderId="0" xfId="0" applyFont="1"/>
    <xf numFmtId="44" fontId="0" fillId="0" borderId="0" xfId="4" applyFont="1" applyBorder="1"/>
    <xf numFmtId="0" fontId="1" fillId="0" borderId="4" xfId="0" applyFont="1" applyBorder="1" applyAlignment="1">
      <alignment horizontal="center"/>
    </xf>
    <xf numFmtId="165" fontId="1" fillId="0" borderId="5" xfId="0" applyNumberFormat="1" applyFont="1" applyBorder="1"/>
    <xf numFmtId="0" fontId="1" fillId="0" borderId="0" xfId="0" applyFont="1" applyAlignment="1">
      <alignment horizontal="center"/>
    </xf>
    <xf numFmtId="0" fontId="13" fillId="0" borderId="0" xfId="0" applyFont="1"/>
    <xf numFmtId="0" fontId="1" fillId="0" borderId="3" xfId="0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165" fontId="8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6" fontId="5" fillId="0" borderId="0" xfId="0" applyNumberFormat="1" applyFont="1" applyAlignment="1">
      <alignment horizontal="right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558110</xdr:colOff>
      <xdr:row>5</xdr:row>
      <xdr:rowOff>80010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7765" cy="1038225"/>
        </a:xfrm>
        <a:prstGeom prst="rect">
          <a:avLst/>
        </a:prstGeom>
      </xdr:spPr>
    </xdr:pic>
    <xdr:clientData/>
  </xdr:twoCellAnchor>
  <xdr:oneCellAnchor>
    <xdr:from>
      <xdr:col>1</xdr:col>
      <xdr:colOff>962024</xdr:colOff>
      <xdr:row>26</xdr:row>
      <xdr:rowOff>0</xdr:rowOff>
    </xdr:from>
    <xdr:ext cx="1844072" cy="59330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712EECF-0135-4C16-9DBC-69DE3EF390C2}"/>
            </a:ext>
          </a:extLst>
        </xdr:cNvPr>
        <xdr:cNvSpPr txBox="1"/>
      </xdr:nvSpPr>
      <xdr:spPr>
        <a:xfrm rot="19523851">
          <a:off x="1295399" y="5314950"/>
          <a:ext cx="184407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3200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2</xdr:col>
      <xdr:colOff>630134</xdr:colOff>
      <xdr:row>34</xdr:row>
      <xdr:rowOff>185674</xdr:rowOff>
    </xdr:from>
    <xdr:ext cx="2564459" cy="593304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B3C964A-2667-417F-99A8-578D0C43FB55}"/>
            </a:ext>
          </a:extLst>
        </xdr:cNvPr>
        <xdr:cNvSpPr txBox="1"/>
      </xdr:nvSpPr>
      <xdr:spPr>
        <a:xfrm rot="21106287">
          <a:off x="1954109" y="6900799"/>
          <a:ext cx="2564459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200">
              <a:solidFill>
                <a:schemeClr val="tx2">
                  <a:lumMod val="60000"/>
                  <a:lumOff val="40000"/>
                </a:schemeClr>
              </a:solidFill>
            </a:rPr>
            <a:t>ORIGINAL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408940</xdr:colOff>
      <xdr:row>5</xdr:row>
      <xdr:rowOff>1277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7325" cy="941077"/>
        </a:xfrm>
        <a:prstGeom prst="rect">
          <a:avLst/>
        </a:prstGeom>
      </xdr:spPr>
    </xdr:pic>
    <xdr:clientData/>
  </xdr:twoCellAnchor>
  <xdr:oneCellAnchor>
    <xdr:from>
      <xdr:col>1</xdr:col>
      <xdr:colOff>352304</xdr:colOff>
      <xdr:row>18</xdr:row>
      <xdr:rowOff>66235</xdr:rowOff>
    </xdr:from>
    <xdr:ext cx="1844072" cy="593304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B7BF138-5CF2-4B5D-8203-C6D0F06883FA}"/>
            </a:ext>
          </a:extLst>
        </xdr:cNvPr>
        <xdr:cNvSpPr txBox="1"/>
      </xdr:nvSpPr>
      <xdr:spPr>
        <a:xfrm rot="21162571">
          <a:off x="685679" y="3714310"/>
          <a:ext cx="184407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200">
              <a:solidFill>
                <a:schemeClr val="tx2">
                  <a:lumMod val="60000"/>
                  <a:lumOff val="40000"/>
                </a:schemeClr>
              </a:solidFill>
            </a:rPr>
            <a:t>ORIGINAL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2"/>
  <sheetViews>
    <sheetView tabSelected="1" zoomScaleNormal="100" workbookViewId="0">
      <selection activeCell="N16" sqref="N16"/>
    </sheetView>
  </sheetViews>
  <sheetFormatPr defaultRowHeight="14.4" x14ac:dyDescent="0.3"/>
  <cols>
    <col min="1" max="1" width="4.6640625" style="10" customWidth="1"/>
    <col min="2" max="2" width="10.33203125" style="2" customWidth="1"/>
    <col min="3" max="3" width="12.44140625" customWidth="1"/>
    <col min="4" max="4" width="10.88671875" customWidth="1"/>
    <col min="5" max="5" width="15.33203125" customWidth="1"/>
    <col min="6" max="6" width="8.5546875" bestFit="1" customWidth="1"/>
    <col min="7" max="7" width="6.109375" customWidth="1"/>
    <col min="8" max="8" width="11.33203125" style="6" customWidth="1"/>
    <col min="9" max="9" width="10.5546875" style="6" customWidth="1"/>
  </cols>
  <sheetData>
    <row r="1" spans="1:9" x14ac:dyDescent="0.3">
      <c r="D1" s="15" t="s">
        <v>20</v>
      </c>
      <c r="E1" s="1"/>
      <c r="H1" s="67" t="s">
        <v>6</v>
      </c>
      <c r="I1" s="30" t="s">
        <v>45</v>
      </c>
    </row>
    <row r="2" spans="1:9" x14ac:dyDescent="0.3">
      <c r="D2" s="16" t="s">
        <v>19</v>
      </c>
      <c r="H2" s="67" t="s">
        <v>7</v>
      </c>
      <c r="I2" s="31">
        <f ca="1">TODAY()</f>
        <v>46262</v>
      </c>
    </row>
    <row r="3" spans="1:9" x14ac:dyDescent="0.3">
      <c r="D3" s="16" t="s">
        <v>13</v>
      </c>
      <c r="H3" s="67" t="s">
        <v>8</v>
      </c>
      <c r="I3" s="29" t="s">
        <v>39</v>
      </c>
    </row>
    <row r="4" spans="1:9" x14ac:dyDescent="0.3">
      <c r="D4" s="16" t="s">
        <v>2</v>
      </c>
      <c r="H4" s="67" t="s">
        <v>9</v>
      </c>
      <c r="I4" s="29" t="s">
        <v>25</v>
      </c>
    </row>
    <row r="5" spans="1:9" x14ac:dyDescent="0.3">
      <c r="D5" s="16" t="s">
        <v>18</v>
      </c>
      <c r="H5" s="41"/>
      <c r="I5" s="29"/>
    </row>
    <row r="6" spans="1:9" x14ac:dyDescent="0.3">
      <c r="H6" s="40"/>
      <c r="I6" s="14"/>
    </row>
    <row r="7" spans="1:9" ht="15" thickBot="1" x14ac:dyDescent="0.35">
      <c r="A7" s="11"/>
      <c r="B7" s="5"/>
      <c r="C7" s="68" t="s">
        <v>36</v>
      </c>
      <c r="D7" s="68"/>
      <c r="E7" s="68"/>
      <c r="F7" s="68"/>
      <c r="G7" s="68"/>
      <c r="H7" s="68"/>
      <c r="I7" s="7"/>
    </row>
    <row r="8" spans="1:9" x14ac:dyDescent="0.3">
      <c r="A8" s="12" t="s">
        <v>27</v>
      </c>
      <c r="E8" s="27"/>
    </row>
    <row r="9" spans="1:9" x14ac:dyDescent="0.3">
      <c r="A9" t="s">
        <v>38</v>
      </c>
    </row>
    <row r="10" spans="1:9" x14ac:dyDescent="0.3">
      <c r="A10" s="10" t="s">
        <v>33</v>
      </c>
      <c r="E10" s="10"/>
      <c r="F10" s="57" t="s">
        <v>37</v>
      </c>
    </row>
    <row r="11" spans="1:9" x14ac:dyDescent="0.3">
      <c r="A11" s="10" t="s">
        <v>34</v>
      </c>
      <c r="E11" s="10"/>
      <c r="G11" s="1"/>
      <c r="H11"/>
    </row>
    <row r="12" spans="1:9" x14ac:dyDescent="0.3">
      <c r="A12" s="32" t="s">
        <v>29</v>
      </c>
      <c r="E12" s="32"/>
    </row>
    <row r="13" spans="1:9" x14ac:dyDescent="0.3">
      <c r="A13" s="32" t="s">
        <v>35</v>
      </c>
      <c r="B13" s="10"/>
      <c r="C13" s="10"/>
      <c r="D13" s="10"/>
      <c r="E13" s="32"/>
      <c r="F13" s="10"/>
      <c r="G13" s="10"/>
      <c r="H13" s="10"/>
      <c r="I13" s="10"/>
    </row>
    <row r="14" spans="1:9" ht="15" thickBot="1" x14ac:dyDescent="0.35">
      <c r="A14" s="32" t="s">
        <v>30</v>
      </c>
      <c r="B14" s="5"/>
      <c r="C14" s="3"/>
      <c r="D14" s="3"/>
      <c r="E14" s="32"/>
      <c r="F14" s="3"/>
      <c r="G14" s="3"/>
      <c r="H14" s="7"/>
      <c r="I14" s="7"/>
    </row>
    <row r="15" spans="1:9" s="1" customFormat="1" ht="15" thickBot="1" x14ac:dyDescent="0.35">
      <c r="A15" s="54" t="s">
        <v>3</v>
      </c>
      <c r="B15" s="9" t="s">
        <v>14</v>
      </c>
      <c r="C15" s="70" t="s">
        <v>15</v>
      </c>
      <c r="D15" s="70"/>
      <c r="E15" s="70"/>
      <c r="F15" s="4" t="s">
        <v>16</v>
      </c>
      <c r="G15" s="4" t="s">
        <v>4</v>
      </c>
      <c r="H15" s="8" t="s">
        <v>5</v>
      </c>
      <c r="I15" s="55" t="s">
        <v>0</v>
      </c>
    </row>
    <row r="16" spans="1:9" ht="15" customHeight="1" x14ac:dyDescent="0.3">
      <c r="A16" s="47">
        <v>1</v>
      </c>
      <c r="B16" s="52">
        <v>34009522</v>
      </c>
      <c r="C16" s="71" t="s">
        <v>41</v>
      </c>
      <c r="D16" s="72"/>
      <c r="E16" s="72"/>
      <c r="F16" s="22">
        <v>10</v>
      </c>
      <c r="G16" s="2" t="s">
        <v>31</v>
      </c>
      <c r="H16" s="53">
        <v>10</v>
      </c>
      <c r="I16" s="53">
        <f t="shared" ref="I16" si="0">F16*H16</f>
        <v>100</v>
      </c>
    </row>
    <row r="17" spans="1:9" ht="15" customHeight="1" x14ac:dyDescent="0.3">
      <c r="A17" s="47"/>
      <c r="B17" s="48"/>
      <c r="C17" s="46"/>
      <c r="D17" s="32"/>
      <c r="E17" s="32"/>
      <c r="F17" s="22"/>
      <c r="G17" s="2"/>
      <c r="H17" s="42"/>
      <c r="I17" s="25"/>
    </row>
    <row r="18" spans="1:9" ht="15" customHeight="1" x14ac:dyDescent="0.3">
      <c r="A18" s="47"/>
      <c r="B18" s="48"/>
      <c r="C18" s="46"/>
      <c r="D18" s="32"/>
      <c r="E18" s="32"/>
      <c r="F18" s="22"/>
      <c r="G18" s="2"/>
      <c r="H18" s="42"/>
      <c r="I18" s="25"/>
    </row>
    <row r="19" spans="1:9" ht="15" customHeight="1" x14ac:dyDescent="0.3">
      <c r="A19" s="47"/>
      <c r="B19" s="48"/>
      <c r="C19" s="46"/>
      <c r="D19" s="32"/>
      <c r="E19" s="32"/>
      <c r="F19" s="22"/>
      <c r="G19" s="2"/>
      <c r="H19" s="42"/>
      <c r="I19" s="25"/>
    </row>
    <row r="20" spans="1:9" ht="15" customHeight="1" x14ac:dyDescent="0.3">
      <c r="A20" s="47"/>
      <c r="B20" s="48"/>
      <c r="C20" s="46"/>
      <c r="D20" s="32"/>
      <c r="E20" s="32"/>
      <c r="F20" s="22"/>
      <c r="G20" s="2"/>
      <c r="H20" s="42"/>
      <c r="I20" s="25"/>
    </row>
    <row r="21" spans="1:9" ht="15" customHeight="1" x14ac:dyDescent="0.3">
      <c r="A21" s="47"/>
      <c r="B21" s="48"/>
      <c r="C21" s="46"/>
      <c r="D21" s="32"/>
      <c r="E21" s="32"/>
      <c r="F21" s="22"/>
      <c r="G21" s="2"/>
      <c r="H21" s="42"/>
      <c r="I21" s="25"/>
    </row>
    <row r="22" spans="1:9" ht="15" customHeight="1" x14ac:dyDescent="0.3">
      <c r="A22" s="47"/>
      <c r="B22" s="48"/>
      <c r="C22" s="46"/>
      <c r="D22" s="32"/>
      <c r="E22" s="32"/>
      <c r="F22" s="22"/>
      <c r="G22" s="2"/>
      <c r="H22" s="42"/>
      <c r="I22" s="25"/>
    </row>
    <row r="23" spans="1:9" ht="15" customHeight="1" x14ac:dyDescent="0.3">
      <c r="A23" s="47"/>
      <c r="B23" s="48"/>
      <c r="C23" s="46"/>
      <c r="D23" s="32"/>
      <c r="E23" s="32"/>
      <c r="F23" s="22"/>
      <c r="G23" s="2"/>
      <c r="H23" s="42"/>
      <c r="I23" s="25"/>
    </row>
    <row r="24" spans="1:9" ht="15" thickBot="1" x14ac:dyDescent="0.35">
      <c r="A24" s="11"/>
      <c r="B24" s="5"/>
      <c r="C24" s="18"/>
      <c r="D24" s="3"/>
      <c r="E24" s="13"/>
      <c r="F24" s="3"/>
      <c r="G24" s="3"/>
      <c r="H24" s="7"/>
      <c r="I24" s="7"/>
    </row>
    <row r="25" spans="1:9" ht="15" thickBot="1" x14ac:dyDescent="0.35">
      <c r="H25" s="21" t="s">
        <v>0</v>
      </c>
      <c r="I25" s="21">
        <f>SUM(I16:I24)</f>
        <v>100</v>
      </c>
    </row>
    <row r="26" spans="1:9" x14ac:dyDescent="0.3">
      <c r="B26" s="56" t="s">
        <v>40</v>
      </c>
      <c r="D26" s="69"/>
      <c r="E26" s="69"/>
      <c r="F26" s="69"/>
    </row>
    <row r="27" spans="1:9" x14ac:dyDescent="0.3">
      <c r="A27" s="12"/>
      <c r="B27" s="12" t="s">
        <v>32</v>
      </c>
      <c r="C27" t="s">
        <v>42</v>
      </c>
      <c r="D27" s="69"/>
      <c r="E27" s="69"/>
      <c r="F27" s="69"/>
      <c r="G27" s="26"/>
      <c r="H27" s="26"/>
    </row>
    <row r="28" spans="1:9" x14ac:dyDescent="0.3">
      <c r="A28" s="12"/>
      <c r="B28" s="1"/>
      <c r="D28" s="69"/>
      <c r="E28" s="69"/>
      <c r="F28" s="69"/>
      <c r="G28" s="26"/>
      <c r="H28" s="26"/>
    </row>
    <row r="33" spans="2:14" x14ac:dyDescent="0.3">
      <c r="B33" s="1"/>
      <c r="D33" s="24"/>
      <c r="E33" s="24"/>
      <c r="F33" s="24"/>
      <c r="G33" s="24"/>
      <c r="H33" s="24"/>
      <c r="J33" s="24"/>
      <c r="K33" s="24"/>
      <c r="L33" s="24"/>
      <c r="M33" s="24"/>
      <c r="N33" s="24"/>
    </row>
    <row r="34" spans="2:14" x14ac:dyDescent="0.3">
      <c r="B34"/>
      <c r="D34" s="24"/>
      <c r="E34" s="24"/>
      <c r="F34" s="24"/>
      <c r="G34" s="24"/>
      <c r="H34" s="24"/>
      <c r="J34" s="24"/>
      <c r="K34" s="24"/>
      <c r="L34" s="24"/>
      <c r="M34" s="24"/>
      <c r="N34" s="24"/>
    </row>
    <row r="35" spans="2:14" x14ac:dyDescent="0.3">
      <c r="B35"/>
      <c r="D35" s="24"/>
      <c r="E35" s="24"/>
      <c r="F35" s="24"/>
      <c r="G35" s="24"/>
      <c r="H35" s="24"/>
      <c r="J35" s="24"/>
      <c r="K35" s="24"/>
      <c r="L35" s="24"/>
      <c r="M35" s="24"/>
      <c r="N35" s="24"/>
    </row>
    <row r="36" spans="2:14" x14ac:dyDescent="0.3">
      <c r="B36"/>
      <c r="D36" s="24"/>
      <c r="E36" s="24"/>
      <c r="F36" s="24"/>
      <c r="G36" s="24"/>
      <c r="H36" s="24"/>
      <c r="J36" s="24"/>
      <c r="K36" s="24"/>
      <c r="L36" s="24"/>
      <c r="M36" s="24"/>
      <c r="N36" s="24"/>
    </row>
    <row r="37" spans="2:14" x14ac:dyDescent="0.3">
      <c r="B37"/>
      <c r="D37" s="24"/>
      <c r="E37" s="24"/>
      <c r="F37" s="24"/>
      <c r="G37" s="24"/>
      <c r="H37" s="24"/>
      <c r="J37" s="24"/>
      <c r="K37" s="24"/>
      <c r="L37" s="24"/>
      <c r="M37" s="24"/>
      <c r="N37" s="24"/>
    </row>
    <row r="38" spans="2:14" x14ac:dyDescent="0.3">
      <c r="B38"/>
      <c r="D38" s="24"/>
      <c r="E38" s="24"/>
      <c r="F38" s="24"/>
      <c r="G38" s="24"/>
      <c r="H38" s="24"/>
      <c r="J38" s="24"/>
      <c r="K38" s="24"/>
      <c r="L38" s="24"/>
      <c r="M38" s="24"/>
      <c r="N38" s="24"/>
    </row>
    <row r="39" spans="2:14" x14ac:dyDescent="0.3">
      <c r="B39"/>
      <c r="D39" s="23"/>
      <c r="E39" s="23"/>
      <c r="F39" s="23"/>
      <c r="G39" s="23"/>
      <c r="H39" s="23"/>
      <c r="J39" s="23"/>
      <c r="K39" s="23"/>
      <c r="L39" s="23"/>
      <c r="M39" s="23"/>
      <c r="N39" s="23"/>
    </row>
    <row r="40" spans="2:14" x14ac:dyDescent="0.3">
      <c r="B40"/>
      <c r="D40" s="23"/>
      <c r="E40" s="23"/>
      <c r="F40" s="23"/>
      <c r="G40" s="23"/>
      <c r="H40" s="23"/>
      <c r="J40" s="23"/>
      <c r="K40" s="23"/>
      <c r="L40" s="23"/>
      <c r="M40" s="23"/>
      <c r="N40" s="23"/>
    </row>
    <row r="41" spans="2:14" x14ac:dyDescent="0.3">
      <c r="B41"/>
      <c r="D41" s="23"/>
      <c r="E41" s="23"/>
      <c r="F41" s="23"/>
      <c r="G41" s="23"/>
      <c r="H41" s="23"/>
      <c r="J41" s="23"/>
      <c r="K41" s="23"/>
      <c r="L41" s="23"/>
      <c r="M41" s="23"/>
      <c r="N41" s="23"/>
    </row>
    <row r="42" spans="2:14" x14ac:dyDescent="0.3">
      <c r="B42"/>
      <c r="D42" s="23"/>
      <c r="E42" s="23"/>
      <c r="F42" s="23"/>
      <c r="G42" s="23"/>
      <c r="H42" s="37"/>
      <c r="J42" s="23"/>
      <c r="K42" s="23"/>
      <c r="L42" s="23"/>
      <c r="M42" s="23"/>
      <c r="N42" s="23"/>
    </row>
  </sheetData>
  <mergeCells count="6">
    <mergeCell ref="C7:H7"/>
    <mergeCell ref="D28:F28"/>
    <mergeCell ref="C15:E15"/>
    <mergeCell ref="D27:F27"/>
    <mergeCell ref="D26:F26"/>
    <mergeCell ref="C16:E16"/>
  </mergeCells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Footer>&amp;C_x000D_&amp;1#&amp;"Aptos"&amp;10&amp;K000000 Internal&amp;R&amp;P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3"/>
  <sheetViews>
    <sheetView zoomScaleNormal="100" workbookViewId="0">
      <selection activeCell="L22" sqref="L22"/>
    </sheetView>
  </sheetViews>
  <sheetFormatPr defaultColWidth="9.109375" defaultRowHeight="14.4" x14ac:dyDescent="0.3"/>
  <cols>
    <col min="1" max="1" width="4.6640625" style="10" customWidth="1"/>
    <col min="2" max="2" width="10.109375" style="2" customWidth="1"/>
    <col min="3" max="3" width="8" customWidth="1"/>
    <col min="4" max="4" width="8.88671875" customWidth="1"/>
    <col min="5" max="5" width="12.109375" customWidth="1"/>
    <col min="6" max="6" width="9.88671875" customWidth="1"/>
    <col min="7" max="7" width="9.109375" style="19" customWidth="1"/>
    <col min="8" max="8" width="13.6640625" style="19" customWidth="1"/>
    <col min="9" max="9" width="12.44140625" style="6" customWidth="1"/>
  </cols>
  <sheetData>
    <row r="1" spans="1:12" x14ac:dyDescent="0.3">
      <c r="D1" s="15" t="s">
        <v>1</v>
      </c>
      <c r="E1" s="1"/>
      <c r="G1" s="78" t="s">
        <v>6</v>
      </c>
      <c r="H1" s="78"/>
      <c r="I1" s="30" t="str">
        <f>'COMMERCIAL INVOICE'!I1</f>
        <v>4053798</v>
      </c>
    </row>
    <row r="2" spans="1:12" x14ac:dyDescent="0.3">
      <c r="D2" s="16" t="s">
        <v>17</v>
      </c>
      <c r="G2" s="78" t="s">
        <v>7</v>
      </c>
      <c r="H2" s="78"/>
      <c r="I2" s="31">
        <f ca="1">'COMMERCIAL INVOICE'!I2</f>
        <v>46262</v>
      </c>
    </row>
    <row r="3" spans="1:12" x14ac:dyDescent="0.3">
      <c r="D3" s="16" t="s">
        <v>13</v>
      </c>
      <c r="H3" s="28" t="s">
        <v>8</v>
      </c>
      <c r="I3" s="29" t="str">
        <f>'COMMERCIAL INVOICE'!I3</f>
        <v>35009586</v>
      </c>
    </row>
    <row r="4" spans="1:12" x14ac:dyDescent="0.3">
      <c r="D4" s="16" t="s">
        <v>2</v>
      </c>
      <c r="G4" s="78"/>
      <c r="H4" s="78"/>
      <c r="I4" s="14"/>
    </row>
    <row r="5" spans="1:12" x14ac:dyDescent="0.3">
      <c r="D5" s="16" t="s">
        <v>18</v>
      </c>
      <c r="I5" s="14"/>
    </row>
    <row r="6" spans="1:12" x14ac:dyDescent="0.3">
      <c r="I6" s="14"/>
    </row>
    <row r="7" spans="1:12" x14ac:dyDescent="0.3">
      <c r="D7" s="16"/>
      <c r="I7" s="14"/>
    </row>
    <row r="8" spans="1:12" ht="15" thickBot="1" x14ac:dyDescent="0.35">
      <c r="A8" s="11"/>
      <c r="B8" s="5"/>
      <c r="C8" s="3"/>
      <c r="D8" s="77" t="s">
        <v>10</v>
      </c>
      <c r="E8" s="77"/>
      <c r="F8" s="77"/>
      <c r="G8" s="20"/>
      <c r="H8" s="20"/>
      <c r="I8" s="7"/>
    </row>
    <row r="9" spans="1:12" x14ac:dyDescent="0.3">
      <c r="A9" s="12" t="s">
        <v>27</v>
      </c>
      <c r="G9" s="27" t="s">
        <v>26</v>
      </c>
      <c r="H9" s="6"/>
    </row>
    <row r="10" spans="1:12" x14ac:dyDescent="0.3">
      <c r="A10" t="str">
        <f>'COMMERCIAL INVOICE'!A9</f>
        <v>ESSENTRA COMPONENTS S DE RL DE CV</v>
      </c>
      <c r="G10"/>
      <c r="H10" s="6"/>
    </row>
    <row r="11" spans="1:12" x14ac:dyDescent="0.3">
      <c r="A11" t="str">
        <f>'COMMERCIAL INVOICE'!A10</f>
        <v>Ave. Automotriz 351 A‑06</v>
      </c>
      <c r="G11"/>
      <c r="H11" s="6"/>
    </row>
    <row r="12" spans="1:12" x14ac:dyDescent="0.3">
      <c r="A12" t="str">
        <f>'COMMERCIAL INVOICE'!A11</f>
        <v>Parque Industrial Avante Apodaca</v>
      </c>
      <c r="G12"/>
      <c r="H12"/>
    </row>
    <row r="13" spans="1:12" x14ac:dyDescent="0.3">
      <c r="A13" t="str">
        <f>'COMMERCIAL INVOICE'!A12</f>
        <v xml:space="preserve">Apodaca, Nuevo León </v>
      </c>
      <c r="G13"/>
      <c r="H13" s="6"/>
    </row>
    <row r="14" spans="1:12" x14ac:dyDescent="0.3">
      <c r="A14" t="str">
        <f>'COMMERCIAL INVOICE'!A13</f>
        <v>CP: 66607</v>
      </c>
      <c r="B14" s="10"/>
      <c r="C14" s="10"/>
      <c r="D14" s="10"/>
      <c r="E14" s="10"/>
      <c r="F14" s="10"/>
      <c r="G14"/>
      <c r="H14" s="10"/>
      <c r="I14" s="10"/>
    </row>
    <row r="15" spans="1:12" ht="15" thickBot="1" x14ac:dyDescent="0.35">
      <c r="A15" t="str">
        <f>'COMMERCIAL INVOICE'!A14</f>
        <v>Mexico</v>
      </c>
      <c r="B15" s="5"/>
      <c r="C15" s="3"/>
      <c r="D15" s="3"/>
      <c r="E15" s="3"/>
      <c r="F15" s="3"/>
      <c r="G15"/>
      <c r="H15" s="20"/>
      <c r="I15" s="7"/>
    </row>
    <row r="16" spans="1:12" s="1" customFormat="1" x14ac:dyDescent="0.3">
      <c r="A16" s="58" t="s">
        <v>3</v>
      </c>
      <c r="B16" s="76" t="s">
        <v>14</v>
      </c>
      <c r="C16" s="76"/>
      <c r="D16" s="76"/>
      <c r="E16" s="58" t="s">
        <v>16</v>
      </c>
      <c r="F16" s="59" t="s">
        <v>12</v>
      </c>
      <c r="G16" s="59" t="s">
        <v>11</v>
      </c>
      <c r="H16" s="60" t="s">
        <v>43</v>
      </c>
      <c r="I16" s="60" t="s">
        <v>28</v>
      </c>
      <c r="K16" s="39"/>
      <c r="L16" s="39"/>
    </row>
    <row r="17" spans="1:12" x14ac:dyDescent="0.3">
      <c r="A17" s="61">
        <v>1</v>
      </c>
      <c r="B17" s="73">
        <f>'COMMERCIAL INVOICE'!B16</f>
        <v>34009522</v>
      </c>
      <c r="C17" s="74"/>
      <c r="D17" s="75"/>
      <c r="E17" s="62">
        <v>10</v>
      </c>
      <c r="F17" s="64"/>
      <c r="G17" s="65"/>
      <c r="H17" s="66">
        <v>1</v>
      </c>
      <c r="I17" s="63"/>
      <c r="K17" s="39"/>
      <c r="L17" s="39"/>
    </row>
    <row r="18" spans="1:12" x14ac:dyDescent="0.3">
      <c r="A18"/>
      <c r="B18" s="30"/>
      <c r="E18" s="22"/>
      <c r="F18" s="49"/>
      <c r="G18" s="50"/>
      <c r="H18" s="33"/>
      <c r="I18" s="51"/>
      <c r="K18" s="39"/>
      <c r="L18" s="39"/>
    </row>
    <row r="19" spans="1:12" x14ac:dyDescent="0.3">
      <c r="A19"/>
      <c r="B19" s="30"/>
      <c r="E19" s="22"/>
      <c r="F19" s="49"/>
      <c r="G19" s="50"/>
      <c r="H19" s="33"/>
      <c r="I19" s="51"/>
      <c r="K19" s="39"/>
      <c r="L19" s="39"/>
    </row>
    <row r="20" spans="1:12" x14ac:dyDescent="0.3">
      <c r="A20"/>
      <c r="B20" s="30"/>
      <c r="E20" s="22"/>
      <c r="F20" s="49"/>
      <c r="G20" s="50"/>
      <c r="H20" s="33"/>
      <c r="I20" s="51"/>
      <c r="K20" s="39"/>
      <c r="L20" s="39"/>
    </row>
    <row r="21" spans="1:12" x14ac:dyDescent="0.3">
      <c r="A21"/>
      <c r="B21" s="30"/>
      <c r="E21" s="22"/>
      <c r="F21" s="49"/>
      <c r="G21" s="50"/>
      <c r="H21" s="33"/>
      <c r="I21" s="51"/>
      <c r="K21" s="39"/>
      <c r="L21" s="39"/>
    </row>
    <row r="22" spans="1:12" x14ac:dyDescent="0.3">
      <c r="A22"/>
      <c r="B22" s="30"/>
      <c r="E22" s="22"/>
      <c r="F22" s="49"/>
      <c r="G22" s="50"/>
      <c r="H22" s="33"/>
      <c r="I22" s="51"/>
      <c r="K22" s="39"/>
      <c r="L22" s="39"/>
    </row>
    <row r="23" spans="1:12" ht="15" thickBot="1" x14ac:dyDescent="0.35">
      <c r="A23" s="11"/>
      <c r="B23" s="5"/>
      <c r="C23" s="18"/>
      <c r="D23" s="3"/>
      <c r="E23" s="13"/>
      <c r="F23" s="43"/>
      <c r="G23" s="22"/>
      <c r="H23" s="33"/>
      <c r="I23" s="34"/>
    </row>
    <row r="24" spans="1:12" ht="15" thickBot="1" x14ac:dyDescent="0.35">
      <c r="D24" s="17" t="s">
        <v>0</v>
      </c>
      <c r="E24" s="38">
        <f>SUM(E17:E17)</f>
        <v>10</v>
      </c>
      <c r="F24" s="44">
        <f>SUM(F17:F23)</f>
        <v>0</v>
      </c>
      <c r="G24" s="44">
        <f>SUM(G17:G23)</f>
        <v>0</v>
      </c>
      <c r="H24" s="35">
        <f>SUM(H17:H22)</f>
        <v>1</v>
      </c>
      <c r="I24" s="35"/>
    </row>
    <row r="26" spans="1:12" x14ac:dyDescent="0.3">
      <c r="A26" s="12"/>
      <c r="B26" s="10"/>
      <c r="D26" s="1"/>
      <c r="F26" s="22"/>
      <c r="G26" s="22"/>
    </row>
    <row r="27" spans="1:12" x14ac:dyDescent="0.3">
      <c r="A27" s="12"/>
      <c r="B27" s="10"/>
      <c r="D27" s="1"/>
      <c r="F27" s="19"/>
      <c r="G27" s="6"/>
      <c r="H27"/>
      <c r="I27"/>
    </row>
    <row r="28" spans="1:12" x14ac:dyDescent="0.3">
      <c r="D28" s="1"/>
      <c r="E28" s="1" t="s">
        <v>22</v>
      </c>
      <c r="F28" s="2"/>
      <c r="G28" s="45">
        <f>F17</f>
        <v>0</v>
      </c>
      <c r="H28" s="36" t="s">
        <v>24</v>
      </c>
    </row>
    <row r="29" spans="1:12" x14ac:dyDescent="0.3">
      <c r="D29" s="1"/>
      <c r="E29" s="1" t="s">
        <v>21</v>
      </c>
      <c r="F29" s="2"/>
      <c r="G29" s="45">
        <f>G17</f>
        <v>0</v>
      </c>
      <c r="H29" s="36" t="s">
        <v>24</v>
      </c>
    </row>
    <row r="30" spans="1:12" x14ac:dyDescent="0.3">
      <c r="E30" s="1" t="s">
        <v>23</v>
      </c>
      <c r="G30" s="34">
        <v>1</v>
      </c>
      <c r="H30" s="36" t="s">
        <v>44</v>
      </c>
    </row>
    <row r="31" spans="1:12" x14ac:dyDescent="0.3">
      <c r="E31" s="1"/>
    </row>
    <row r="33" spans="5:7" x14ac:dyDescent="0.3">
      <c r="E33" s="2"/>
      <c r="G33" s="22"/>
    </row>
  </sheetData>
  <mergeCells count="6">
    <mergeCell ref="B17:D17"/>
    <mergeCell ref="B16:D16"/>
    <mergeCell ref="D8:F8"/>
    <mergeCell ref="G1:H1"/>
    <mergeCell ref="G2:H2"/>
    <mergeCell ref="G4:H4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Footer>&amp;C_x000D_&amp;1#&amp;"Aptos"&amp;10&amp;K000000 Internal&amp;R&amp;P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COMMERCIAL INVOICE</vt:lpstr>
      <vt:lpstr>Packing List</vt:lpstr>
      <vt:lpstr>'COMMERCIAL INVOICE'!Print_Titles</vt:lpstr>
      <vt:lpstr>'Packing List'!Print_Titles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Fialho</dc:creator>
  <cp:lastModifiedBy>Filipe Godoi</cp:lastModifiedBy>
  <cp:lastPrinted>2025-11-24T15:10:26Z</cp:lastPrinted>
  <dcterms:created xsi:type="dcterms:W3CDTF">2014-02-21T19:41:13Z</dcterms:created>
  <dcterms:modified xsi:type="dcterms:W3CDTF">2026-08-28T18:56:52Z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086e14-9c08-483b-88c2-111183009ad8_Enabled">
    <vt:lpwstr>true</vt:lpwstr>
  </property>
  <property fmtid="{D5CDD505-2E9C-101B-9397-08002B2CF9AE}" pid="3" name="MSIP_Label_2a086e14-9c08-483b-88c2-111183009ad8_SetDate">
    <vt:lpwstr>2026-01-06T16:30:12Z</vt:lpwstr>
  </property>
  <property fmtid="{D5CDD505-2E9C-101B-9397-08002B2CF9AE}" pid="4" name="MSIP_Label_2a086e14-9c08-483b-88c2-111183009ad8_Method">
    <vt:lpwstr>Standard</vt:lpwstr>
  </property>
  <property fmtid="{D5CDD505-2E9C-101B-9397-08002B2CF9AE}" pid="5" name="MSIP_Label_2a086e14-9c08-483b-88c2-111183009ad8_Name">
    <vt:lpwstr>2a086e14-9c08-483b-88c2-111183009ad8</vt:lpwstr>
  </property>
  <property fmtid="{D5CDD505-2E9C-101B-9397-08002B2CF9AE}" pid="6" name="MSIP_Label_2a086e14-9c08-483b-88c2-111183009ad8_SiteId">
    <vt:lpwstr>1388cd9a-1e88-49c0-98be-edc64ee66f8e</vt:lpwstr>
  </property>
  <property fmtid="{D5CDD505-2E9C-101B-9397-08002B2CF9AE}" pid="7" name="MSIP_Label_2a086e14-9c08-483b-88c2-111183009ad8_ActionId">
    <vt:lpwstr>c9587979-d83e-4640-bfa9-1c4c1b2dce70</vt:lpwstr>
  </property>
  <property fmtid="{D5CDD505-2E9C-101B-9397-08002B2CF9AE}" pid="8" name="MSIP_Label_2a086e14-9c08-483b-88c2-111183009ad8_ContentBits">
    <vt:lpwstr>2</vt:lpwstr>
  </property>
  <property fmtid="{D5CDD505-2E9C-101B-9397-08002B2CF9AE}" pid="9" name="MSIP_Label_2a086e14-9c08-483b-88c2-111183009ad8_Tag">
    <vt:lpwstr>10, 3, 0, 1</vt:lpwstr>
  </property>
</Properties>
</file>